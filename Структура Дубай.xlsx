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трудники" sheetId="1" r:id="rId5"/>
  </sheets>
  <definedNames>
    <definedName hidden="1" localSheetId="0" name="_xlnm._FilterDatabase">'Сотрудники'!$A$1:$N$18</definedName>
  </definedNames>
  <calcPr/>
</workbook>
</file>

<file path=xl/sharedStrings.xml><?xml version="1.0" encoding="utf-8"?>
<sst xmlns="http://schemas.openxmlformats.org/spreadsheetml/2006/main" count="106" uniqueCount="60">
  <si>
    <t>Имя</t>
  </si>
  <si>
    <t>В структуре предприятия</t>
  </si>
  <si>
    <t>Должность по штатному расписанию</t>
  </si>
  <si>
    <t>Дата приема</t>
  </si>
  <si>
    <t>Дата увольнения</t>
  </si>
  <si>
    <t>Статья ФОТ</t>
  </si>
  <si>
    <t>ФОТ</t>
  </si>
  <si>
    <t>Валюта</t>
  </si>
  <si>
    <t>Условия</t>
  </si>
  <si>
    <t>Договор</t>
  </si>
  <si>
    <t>Октябрь</t>
  </si>
  <si>
    <t>Ноябрь</t>
  </si>
  <si>
    <t>Декабрь</t>
  </si>
  <si>
    <t>Январь</t>
  </si>
  <si>
    <t>Берденникова Елизавета</t>
  </si>
  <si>
    <t>Дубай Административный отдел</t>
  </si>
  <si>
    <t>Коммерческий директор</t>
  </si>
  <si>
    <t xml:space="preserve">ФОТ управленческий </t>
  </si>
  <si>
    <t>dh</t>
  </si>
  <si>
    <t>Гикаев Георгий</t>
  </si>
  <si>
    <t>Дубай Ивент отдел</t>
  </si>
  <si>
    <t>Художественный руководитель</t>
  </si>
  <si>
    <t>ФОТ операционный прямой</t>
  </si>
  <si>
    <t xml:space="preserve">Анна Соснина </t>
  </si>
  <si>
    <t>Дубай Отдел продаж</t>
  </si>
  <si>
    <t>Руководитель отдела продаж</t>
  </si>
  <si>
    <t>ФОТ коммерческий ОП</t>
  </si>
  <si>
    <t>руб</t>
  </si>
  <si>
    <t>Отельбаев Арыстан</t>
  </si>
  <si>
    <t>Дубай Отдел логистики</t>
  </si>
  <si>
    <t>Водитель</t>
  </si>
  <si>
    <t>Рейн Кристина</t>
  </si>
  <si>
    <t>Дубай Склад костюмов</t>
  </si>
  <si>
    <t>Костюмер+бизнес-ассистент</t>
  </si>
  <si>
    <t>с 16.10 - 9.000,
6000 оклад</t>
  </si>
  <si>
    <t>Наумов Максим</t>
  </si>
  <si>
    <t>Аниматор</t>
  </si>
  <si>
    <t>Коломина Диана</t>
  </si>
  <si>
    <t>Кибакина Светлана</t>
  </si>
  <si>
    <t>Лидоруб Дубай</t>
  </si>
  <si>
    <t>ФОТ коммерческий ОП лид</t>
  </si>
  <si>
    <t>Кибакина Татьяна</t>
  </si>
  <si>
    <t>Доржиева Адилия</t>
  </si>
  <si>
    <t>Менеджер по продажам (Дубай) /Головной офис Дубай/</t>
  </si>
  <si>
    <t>Керимова Эльвира</t>
  </si>
  <si>
    <t>Павлюченкова Анастасия</t>
  </si>
  <si>
    <t>Золотарева Полина</t>
  </si>
  <si>
    <t>Без оклада, все остальное как у менеджеров Дубая</t>
  </si>
  <si>
    <t>Бобок Маргарита</t>
  </si>
  <si>
    <t>Дубай Упаковка</t>
  </si>
  <si>
    <t>Дизайнер</t>
  </si>
  <si>
    <t>ФОТ коммерческий ОМ</t>
  </si>
  <si>
    <t>руб.</t>
  </si>
  <si>
    <t>Тупотилова Яна</t>
  </si>
  <si>
    <t>Руководитель упаковки</t>
  </si>
  <si>
    <t>Хорина Анна Алексеевна</t>
  </si>
  <si>
    <t>Колобов Ярослав Вадимович</t>
  </si>
  <si>
    <t>Луговая Екатерина Сергеевна</t>
  </si>
  <si>
    <t>Дубай Финансовый отдел</t>
  </si>
  <si>
    <t>Финансовый менеджер /Головной офис Дубай/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</si>
</sst>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right" readingOrder="0" vertical="top"/>
    </xf>
    <xf borderId="1" fillId="0" fontId="2" numFmtId="1" xfId="0" applyAlignment="1" applyBorder="1" applyFont="1" applyNumberFormat="1">
      <alignment vertical="top"/>
    </xf>
    <xf borderId="1" fillId="3" fontId="3" numFmtId="0" xfId="0" applyAlignment="1" applyBorder="1" applyFill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0" fontId="2" numFmtId="1" xfId="0" applyAlignment="1" applyBorder="1" applyFont="1" applyNumberFormat="1">
      <alignment horizontal="center" shrinkToFit="0" vertical="top" wrapText="1"/>
    </xf>
    <xf borderId="1" fillId="4" fontId="3" numFmtId="1" xfId="0" applyBorder="1" applyFill="1" applyFont="1" applyNumberFormat="1"/>
    <xf borderId="2" fillId="0" fontId="2" numFmtId="0" xfId="0" applyAlignment="1" applyBorder="1" applyFont="1">
      <alignment readingOrder="0" vertical="top"/>
    </xf>
    <xf borderId="1" fillId="0" fontId="2" numFmtId="1" xfId="0" applyAlignment="1" applyBorder="1" applyFont="1" applyNumberFormat="1">
      <alignment shrinkToFit="0" vertical="top" wrapText="0"/>
    </xf>
    <xf borderId="1" fillId="0" fontId="2" numFmtId="1" xfId="0" applyAlignment="1" applyBorder="1" applyFont="1" applyNumberFormat="1">
      <alignment horizontal="center" shrinkToFit="0" vertical="top" wrapText="0"/>
    </xf>
    <xf borderId="0" fillId="0" fontId="3" numFmtId="3" xfId="0" applyAlignment="1" applyFont="1" applyNumberFormat="1">
      <alignment readingOrder="0"/>
    </xf>
    <xf borderId="2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right" vertical="top"/>
    </xf>
    <xf borderId="1" fillId="0" fontId="2" numFmtId="1" xfId="0" applyAlignment="1" applyBorder="1" applyFont="1" applyNumberFormat="1">
      <alignment horizontal="right" vertical="top"/>
    </xf>
    <xf borderId="1" fillId="4" fontId="3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1" xfId="0" applyAlignment="1" applyBorder="1" applyFont="1" applyNumberFormat="1">
      <alignment horizontal="right" readingOrder="0" vertical="top"/>
    </xf>
    <xf borderId="1" fillId="0" fontId="2" numFmtId="0" xfId="0" applyAlignment="1" applyBorder="1" applyFont="1">
      <alignment vertical="bottom"/>
    </xf>
    <xf borderId="1" fillId="4" fontId="3" numFmtId="1" xfId="0" applyAlignment="1" applyBorder="1" applyFont="1" applyNumberFormat="1">
      <alignment readingOrder="0"/>
    </xf>
    <xf borderId="2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horizontal="right" vertical="top"/>
    </xf>
    <xf borderId="1" fillId="3" fontId="3" numFmtId="3" xfId="0" applyBorder="1" applyFont="1" applyNumberFormat="1"/>
    <xf borderId="2" fillId="6" fontId="2" numFmtId="0" xfId="0" applyAlignment="1" applyBorder="1" applyFill="1" applyFont="1">
      <alignment vertical="bottom"/>
    </xf>
    <xf borderId="1" fillId="0" fontId="2" numFmtId="1" xfId="0" applyAlignment="1" applyBorder="1" applyFont="1" applyNumberFormat="1">
      <alignment readingOrder="0" shrinkToFit="0" vertical="top" wrapText="0"/>
    </xf>
    <xf borderId="1" fillId="0" fontId="2" numFmtId="0" xfId="0" applyAlignment="1" applyBorder="1" applyFont="1">
      <alignment horizontal="center" readingOrder="0" vertical="top"/>
    </xf>
    <xf borderId="1" fillId="3" fontId="3" numFmtId="1" xfId="0" applyBorder="1" applyFont="1" applyNumberFormat="1"/>
    <xf borderId="1" fillId="0" fontId="3" numFmtId="1" xfId="0" applyAlignment="1" applyBorder="1" applyFont="1" applyNumberFormat="1">
      <alignment readingOrder="0"/>
    </xf>
    <xf borderId="1" fillId="0" fontId="3" numFmtId="1" xfId="0" applyBorder="1" applyFont="1" applyNumberFormat="1"/>
    <xf borderId="0" fillId="0" fontId="3" numFmtId="0" xfId="0" applyAlignment="1" applyFont="1">
      <alignment readingOrder="0"/>
    </xf>
    <xf borderId="1" fillId="0" fontId="2" numFmtId="165" xfId="0" applyAlignment="1" applyBorder="1" applyFont="1" applyNumberFormat="1">
      <alignment horizontal="center" readingOrder="0" vertical="top"/>
    </xf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25"/>
    <col customWidth="1" min="2" max="2" width="26.13"/>
    <col customWidth="1" min="3" max="3" width="38.75"/>
    <col customWidth="1" min="5" max="5" width="17.25"/>
    <col customWidth="1" min="6" max="6" width="22.63"/>
    <col customWidth="1" min="7" max="7" width="8.13"/>
    <col customWidth="1" min="8" max="8" width="7.38"/>
    <col customWidth="1" min="10" max="10" width="13.0"/>
    <col hidden="1" min="11" max="1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4" t="s">
        <v>15</v>
      </c>
      <c r="C2" s="5" t="s">
        <v>16</v>
      </c>
      <c r="D2" s="6">
        <v>45870.0</v>
      </c>
      <c r="E2" s="7"/>
      <c r="F2" s="7" t="s">
        <v>17</v>
      </c>
      <c r="G2" s="8">
        <v>20000.0</v>
      </c>
      <c r="H2" s="4" t="s">
        <v>18</v>
      </c>
      <c r="I2" s="9"/>
      <c r="J2" s="9"/>
      <c r="K2" s="10">
        <v>20000.0</v>
      </c>
      <c r="L2" s="11"/>
      <c r="M2" s="12">
        <v>20000.0</v>
      </c>
      <c r="N2" s="11">
        <f t="shared" ref="N2:N14" si="1">G2/2</f>
        <v>10000</v>
      </c>
    </row>
    <row r="3" ht="16.5" customHeight="1">
      <c r="A3" s="5" t="s">
        <v>19</v>
      </c>
      <c r="B3" s="4" t="s">
        <v>20</v>
      </c>
      <c r="C3" s="5" t="s">
        <v>21</v>
      </c>
      <c r="D3" s="13">
        <v>45986.0</v>
      </c>
      <c r="E3" s="7"/>
      <c r="F3" s="7" t="s">
        <v>22</v>
      </c>
      <c r="G3" s="8">
        <v>15000.0</v>
      </c>
      <c r="H3" s="4" t="s">
        <v>18</v>
      </c>
      <c r="I3" s="14"/>
      <c r="J3" s="14"/>
      <c r="K3" s="15"/>
      <c r="L3" s="11">
        <f>15000/30*(30-24)</f>
        <v>3000</v>
      </c>
      <c r="M3" s="11">
        <f>15000+4500</f>
        <v>19500</v>
      </c>
      <c r="N3" s="11">
        <f t="shared" si="1"/>
        <v>7500</v>
      </c>
    </row>
    <row r="4">
      <c r="A4" s="16" t="s">
        <v>23</v>
      </c>
      <c r="B4" s="4" t="s">
        <v>24</v>
      </c>
      <c r="C4" s="5" t="s">
        <v>25</v>
      </c>
      <c r="D4" s="13">
        <v>46057.0</v>
      </c>
      <c r="E4" s="7"/>
      <c r="F4" s="7" t="s">
        <v>26</v>
      </c>
      <c r="G4" s="8">
        <v>100000.0</v>
      </c>
      <c r="H4" s="5" t="s">
        <v>27</v>
      </c>
      <c r="I4" s="9"/>
      <c r="J4" s="17"/>
      <c r="K4" s="12"/>
      <c r="L4" s="11"/>
      <c r="M4" s="12">
        <v>12000.0</v>
      </c>
      <c r="N4" s="11">
        <f t="shared" si="1"/>
        <v>50000</v>
      </c>
    </row>
    <row r="5" ht="17.25" customHeight="1">
      <c r="A5" s="16" t="s">
        <v>28</v>
      </c>
      <c r="B5" s="4" t="s">
        <v>29</v>
      </c>
      <c r="C5" s="4" t="s">
        <v>30</v>
      </c>
      <c r="D5" s="13">
        <v>45611.0</v>
      </c>
      <c r="E5" s="7"/>
      <c r="F5" s="7" t="s">
        <v>22</v>
      </c>
      <c r="G5" s="8">
        <v>5000.0</v>
      </c>
      <c r="H5" s="4" t="s">
        <v>18</v>
      </c>
      <c r="I5" s="18"/>
      <c r="J5" s="18"/>
      <c r="K5" s="15"/>
      <c r="L5" s="19">
        <f>5000/30*(30-14)</f>
        <v>2666.666667</v>
      </c>
      <c r="M5" s="12">
        <v>5000.0</v>
      </c>
      <c r="N5" s="11">
        <f t="shared" si="1"/>
        <v>2500</v>
      </c>
    </row>
    <row r="6" ht="17.25" customHeight="1">
      <c r="A6" s="20" t="s">
        <v>31</v>
      </c>
      <c r="B6" s="4" t="s">
        <v>32</v>
      </c>
      <c r="C6" s="4" t="s">
        <v>33</v>
      </c>
      <c r="D6" s="6">
        <v>45566.0</v>
      </c>
      <c r="E6" s="7"/>
      <c r="F6" s="7" t="s">
        <v>22</v>
      </c>
      <c r="G6" s="21">
        <v>9000.0</v>
      </c>
      <c r="H6" s="4" t="s">
        <v>18</v>
      </c>
      <c r="I6" s="18" t="s">
        <v>34</v>
      </c>
      <c r="J6" s="18"/>
      <c r="K6" s="15">
        <f>6000/31*15+9000/31*16</f>
        <v>7548.387097</v>
      </c>
      <c r="L6" s="11"/>
      <c r="M6" s="12">
        <v>9000.0</v>
      </c>
      <c r="N6" s="11">
        <f t="shared" si="1"/>
        <v>4500</v>
      </c>
    </row>
    <row r="7">
      <c r="A7" s="4" t="s">
        <v>35</v>
      </c>
      <c r="B7" s="4" t="s">
        <v>20</v>
      </c>
      <c r="C7" s="4" t="s">
        <v>36</v>
      </c>
      <c r="D7" s="6">
        <v>45536.0</v>
      </c>
      <c r="E7" s="7"/>
      <c r="F7" s="7" t="s">
        <v>22</v>
      </c>
      <c r="G7" s="22">
        <v>1000.0</v>
      </c>
      <c r="H7" s="4" t="s">
        <v>18</v>
      </c>
      <c r="I7" s="4"/>
      <c r="J7" s="4"/>
      <c r="K7" s="23">
        <v>13550.0</v>
      </c>
      <c r="L7" s="11"/>
      <c r="M7" s="24">
        <v>1000.0</v>
      </c>
      <c r="N7" s="11">
        <f t="shared" si="1"/>
        <v>500</v>
      </c>
    </row>
    <row r="8">
      <c r="A8" s="25" t="s">
        <v>37</v>
      </c>
      <c r="B8" s="4" t="s">
        <v>20</v>
      </c>
      <c r="C8" s="4" t="s">
        <v>36</v>
      </c>
      <c r="D8" s="13">
        <v>45939.0</v>
      </c>
      <c r="E8" s="7"/>
      <c r="F8" s="7" t="s">
        <v>22</v>
      </c>
      <c r="G8" s="26">
        <v>1000.0</v>
      </c>
      <c r="H8" s="4" t="s">
        <v>18</v>
      </c>
      <c r="I8" s="27"/>
      <c r="J8" s="27"/>
      <c r="K8" s="28">
        <v>7442.0</v>
      </c>
      <c r="L8" s="11"/>
      <c r="M8" s="24">
        <v>1000.0</v>
      </c>
      <c r="N8" s="11">
        <f t="shared" si="1"/>
        <v>500</v>
      </c>
    </row>
    <row r="9">
      <c r="A9" s="27" t="s">
        <v>38</v>
      </c>
      <c r="B9" s="4" t="s">
        <v>24</v>
      </c>
      <c r="C9" s="4" t="s">
        <v>39</v>
      </c>
      <c r="D9" s="6"/>
      <c r="E9" s="7"/>
      <c r="F9" s="7" t="s">
        <v>40</v>
      </c>
      <c r="G9" s="22">
        <v>800.0</v>
      </c>
      <c r="H9" s="4" t="s">
        <v>18</v>
      </c>
      <c r="I9" s="27"/>
      <c r="J9" s="27"/>
      <c r="K9" s="10">
        <v>2023.0</v>
      </c>
      <c r="L9" s="11"/>
      <c r="M9" s="12">
        <v>853.0</v>
      </c>
      <c r="N9" s="11">
        <f t="shared" si="1"/>
        <v>400</v>
      </c>
    </row>
    <row r="10">
      <c r="A10" s="29" t="s">
        <v>41</v>
      </c>
      <c r="B10" s="4" t="s">
        <v>24</v>
      </c>
      <c r="C10" s="4" t="s">
        <v>39</v>
      </c>
      <c r="D10" s="6"/>
      <c r="E10" s="7"/>
      <c r="F10" s="7" t="s">
        <v>40</v>
      </c>
      <c r="G10" s="21">
        <v>800.0</v>
      </c>
      <c r="H10" s="4" t="s">
        <v>18</v>
      </c>
      <c r="I10" s="27"/>
      <c r="J10" s="27"/>
      <c r="K10" s="30">
        <f>800+810+20+300</f>
        <v>1930</v>
      </c>
      <c r="L10" s="11"/>
      <c r="M10" s="12">
        <v>800.0</v>
      </c>
      <c r="N10" s="11">
        <f t="shared" si="1"/>
        <v>400</v>
      </c>
    </row>
    <row r="11">
      <c r="A11" s="27" t="s">
        <v>42</v>
      </c>
      <c r="B11" s="4" t="s">
        <v>24</v>
      </c>
      <c r="C11" s="4" t="s">
        <v>43</v>
      </c>
      <c r="D11" s="6">
        <v>44883.0</v>
      </c>
      <c r="E11" s="7"/>
      <c r="F11" s="7" t="s">
        <v>26</v>
      </c>
      <c r="G11" s="31">
        <v>1000.0</v>
      </c>
      <c r="H11" s="4" t="s">
        <v>18</v>
      </c>
      <c r="I11" s="9"/>
      <c r="J11" s="9"/>
      <c r="K11" s="32">
        <v>4638.0</v>
      </c>
      <c r="L11" s="11"/>
      <c r="M11" s="12">
        <v>1000.0</v>
      </c>
      <c r="N11" s="11">
        <f t="shared" si="1"/>
        <v>500</v>
      </c>
    </row>
    <row r="12">
      <c r="A12" s="4" t="s">
        <v>44</v>
      </c>
      <c r="B12" s="4" t="s">
        <v>24</v>
      </c>
      <c r="C12" s="4" t="s">
        <v>43</v>
      </c>
      <c r="D12" s="6">
        <v>44833.0</v>
      </c>
      <c r="E12" s="7"/>
      <c r="F12" s="7" t="s">
        <v>26</v>
      </c>
      <c r="G12" s="21">
        <v>1000.0</v>
      </c>
      <c r="H12" s="4" t="s">
        <v>18</v>
      </c>
      <c r="I12" s="9"/>
      <c r="J12" s="9"/>
      <c r="K12" s="32">
        <v>13224.888888888889</v>
      </c>
      <c r="L12" s="11"/>
      <c r="M12" s="12">
        <v>1378.0</v>
      </c>
      <c r="N12" s="11">
        <f t="shared" si="1"/>
        <v>500</v>
      </c>
    </row>
    <row r="13">
      <c r="A13" s="33" t="s">
        <v>45</v>
      </c>
      <c r="B13" s="4" t="s">
        <v>24</v>
      </c>
      <c r="C13" s="4" t="s">
        <v>43</v>
      </c>
      <c r="D13" s="13"/>
      <c r="E13" s="7"/>
      <c r="F13" s="7" t="s">
        <v>26</v>
      </c>
      <c r="G13" s="21">
        <v>1000.0</v>
      </c>
      <c r="H13" s="4" t="s">
        <v>18</v>
      </c>
      <c r="I13" s="9"/>
      <c r="J13" s="9"/>
      <c r="K13" s="32">
        <v>4624.0</v>
      </c>
      <c r="L13" s="11"/>
      <c r="M13" s="12">
        <v>839.0</v>
      </c>
      <c r="N13" s="11">
        <f t="shared" si="1"/>
        <v>500</v>
      </c>
    </row>
    <row r="14">
      <c r="A14" s="16" t="s">
        <v>46</v>
      </c>
      <c r="B14" s="4" t="s">
        <v>24</v>
      </c>
      <c r="C14" s="4" t="s">
        <v>43</v>
      </c>
      <c r="D14" s="13">
        <v>45941.0</v>
      </c>
      <c r="E14" s="7"/>
      <c r="F14" s="7" t="s">
        <v>26</v>
      </c>
      <c r="G14" s="8">
        <v>0.0</v>
      </c>
      <c r="H14" s="4" t="s">
        <v>18</v>
      </c>
      <c r="I14" s="34" t="s">
        <v>47</v>
      </c>
      <c r="J14" s="9"/>
      <c r="K14" s="10">
        <v>0.0</v>
      </c>
      <c r="L14" s="11"/>
      <c r="M14" s="12">
        <v>0.0</v>
      </c>
      <c r="N14" s="11">
        <f t="shared" si="1"/>
        <v>0</v>
      </c>
    </row>
    <row r="15">
      <c r="A15" s="16" t="s">
        <v>48</v>
      </c>
      <c r="B15" s="5" t="s">
        <v>49</v>
      </c>
      <c r="C15" s="5" t="s">
        <v>50</v>
      </c>
      <c r="D15" s="13">
        <v>45931.0</v>
      </c>
      <c r="E15" s="35"/>
      <c r="F15" s="35" t="s">
        <v>51</v>
      </c>
      <c r="G15" s="8">
        <v>30000.0</v>
      </c>
      <c r="H15" s="5" t="s">
        <v>52</v>
      </c>
      <c r="I15" s="9"/>
      <c r="J15" s="9"/>
      <c r="K15" s="36">
        <f t="shared" ref="K15:K16" si="2">G15/22</f>
        <v>1363.636364</v>
      </c>
      <c r="L15" s="11"/>
      <c r="M15" s="37">
        <f t="shared" ref="M15:M16" si="3">30000/21.5</f>
        <v>1395.348837</v>
      </c>
      <c r="N15" s="38">
        <f t="shared" ref="N15:N16" si="4">G15/2/21.5</f>
        <v>697.6744186</v>
      </c>
    </row>
    <row r="16">
      <c r="A16" s="16" t="s">
        <v>53</v>
      </c>
      <c r="B16" s="5" t="s">
        <v>49</v>
      </c>
      <c r="C16" s="5" t="s">
        <v>54</v>
      </c>
      <c r="D16" s="13">
        <v>45931.0</v>
      </c>
      <c r="E16" s="35"/>
      <c r="F16" s="35" t="s">
        <v>51</v>
      </c>
      <c r="G16" s="8">
        <v>30000.0</v>
      </c>
      <c r="H16" s="5" t="s">
        <v>52</v>
      </c>
      <c r="I16" s="9"/>
      <c r="J16" s="9"/>
      <c r="K16" s="36">
        <f t="shared" si="2"/>
        <v>1363.636364</v>
      </c>
      <c r="L16" s="11"/>
      <c r="M16" s="37">
        <f t="shared" si="3"/>
        <v>1395.348837</v>
      </c>
      <c r="N16" s="38">
        <f t="shared" si="4"/>
        <v>697.6744186</v>
      </c>
    </row>
    <row r="17">
      <c r="A17" s="39" t="s">
        <v>55</v>
      </c>
      <c r="B17" s="4" t="s">
        <v>20</v>
      </c>
      <c r="C17" s="4" t="s">
        <v>36</v>
      </c>
      <c r="D17" s="13">
        <v>46007.0</v>
      </c>
      <c r="E17" s="35"/>
      <c r="F17" s="13" t="s">
        <v>22</v>
      </c>
      <c r="G17" s="35">
        <v>1000.0</v>
      </c>
      <c r="H17" s="13" t="s">
        <v>18</v>
      </c>
      <c r="I17" s="35"/>
      <c r="J17" s="13"/>
      <c r="K17" s="35"/>
      <c r="L17" s="13"/>
      <c r="M17" s="24">
        <v>516.0</v>
      </c>
      <c r="N17" s="11">
        <f t="shared" ref="N17:N18" si="5">G17/2</f>
        <v>500</v>
      </c>
    </row>
    <row r="18">
      <c r="A18" s="3" t="s">
        <v>56</v>
      </c>
      <c r="B18" s="4" t="s">
        <v>20</v>
      </c>
      <c r="C18" s="5" t="s">
        <v>36</v>
      </c>
      <c r="D18" s="6">
        <v>46003.0</v>
      </c>
      <c r="E18" s="7"/>
      <c r="F18" s="7" t="s">
        <v>22</v>
      </c>
      <c r="G18" s="8">
        <v>1000.0</v>
      </c>
      <c r="H18" s="4" t="s">
        <v>18</v>
      </c>
      <c r="I18" s="9"/>
      <c r="J18" s="9"/>
      <c r="K18" s="10"/>
      <c r="L18" s="11"/>
      <c r="M18" s="12">
        <v>645.0</v>
      </c>
      <c r="N18" s="11">
        <f t="shared" si="5"/>
        <v>500</v>
      </c>
    </row>
    <row r="19">
      <c r="A19" s="16" t="s">
        <v>57</v>
      </c>
      <c r="B19" s="4" t="s">
        <v>58</v>
      </c>
      <c r="C19" s="4" t="s">
        <v>59</v>
      </c>
      <c r="D19" s="13">
        <v>46027.0</v>
      </c>
      <c r="E19" s="40"/>
      <c r="F19" s="7" t="s">
        <v>17</v>
      </c>
      <c r="G19" s="8">
        <v>70000.0</v>
      </c>
      <c r="H19" s="5" t="s">
        <v>27</v>
      </c>
      <c r="I19" s="9"/>
      <c r="J19" s="9"/>
      <c r="K19" s="10"/>
      <c r="L19" s="11"/>
      <c r="M19" s="11"/>
      <c r="N19" s="38">
        <f>G19/2/21.5</f>
        <v>1627.906977</v>
      </c>
    </row>
    <row r="20">
      <c r="N20" s="41">
        <f>SUM(N2:N19)</f>
        <v>81823.25581</v>
      </c>
    </row>
  </sheetData>
  <autoFilter ref="$A$1:$N$18"/>
  <drawing r:id="rId1"/>
</worksheet>
</file>